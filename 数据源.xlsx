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/>
  </bookViews>
  <sheets>
    <sheet name="数据源表" sheetId="1" r:id="rId1"/>
    <sheet name="模板测试" sheetId="5" r:id="rId2"/>
    <sheet name="Sheet1" sheetId="6" r:id="rId3"/>
  </sheets>
  <externalReferences>
    <externalReference r:id="rId4"/>
  </externalReferences>
  <definedNames>
    <definedName name="_xlnm._FilterDatabase" localSheetId="0" hidden="1">数据源表!$B$1:$B$3</definedName>
    <definedName name="_xlnm.Print_Titles" localSheetId="1">模板测试!$1:$3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H1" authorId="0">
      <text>
        <r>
          <rPr>
            <b/>
            <sz val="9"/>
            <rFont val="宋体"/>
            <charset val="134"/>
          </rPr>
          <t>齐帅:</t>
        </r>
        <r>
          <rPr>
            <sz val="9"/>
            <rFont val="宋体"/>
            <charset val="134"/>
          </rPr>
          <t xml:space="preserve">
开始时间为该员工培训时间的最早日，培训记录册以时间线先后填写</t>
        </r>
      </text>
    </comment>
    <comment ref="AI1" authorId="0">
      <text>
        <r>
          <rPr>
            <b/>
            <sz val="9"/>
            <rFont val="宋体"/>
            <charset val="134"/>
          </rPr>
          <t>齐帅:</t>
        </r>
        <r>
          <rPr>
            <sz val="9"/>
            <rFont val="宋体"/>
            <charset val="134"/>
          </rPr>
          <t xml:space="preserve">
结束时间为培训最晚日，如公共区最后培训则填写公共区培训时间，如股份最后培训，则填写股份培训时间
</t>
        </r>
      </text>
    </comment>
    <comment ref="AJ1" authorId="0">
      <text>
        <r>
          <rPr>
            <b/>
            <sz val="9"/>
            <rFont val="宋体"/>
            <charset val="134"/>
          </rPr>
          <t>齐帅:</t>
        </r>
        <r>
          <rPr>
            <sz val="9"/>
            <rFont val="宋体"/>
            <charset val="134"/>
          </rPr>
          <t xml:space="preserve">
有效期开始日为培训结束时间第二天</t>
        </r>
      </text>
    </comment>
    <comment ref="AK1" authorId="0">
      <text>
        <r>
          <rPr>
            <b/>
            <sz val="9"/>
            <rFont val="宋体"/>
            <charset val="134"/>
          </rPr>
          <t>齐帅:</t>
        </r>
        <r>
          <rPr>
            <sz val="9"/>
            <rFont val="宋体"/>
            <charset val="134"/>
          </rPr>
          <t xml:space="preserve">
2024年6月30日</t>
        </r>
      </text>
    </comment>
    <comment ref="AL1" authorId="0">
      <text>
        <r>
          <rPr>
            <b/>
            <sz val="9"/>
            <rFont val="宋体"/>
            <charset val="134"/>
          </rPr>
          <t>齐帅:</t>
        </r>
        <r>
          <rPr>
            <sz val="9"/>
            <rFont val="宋体"/>
            <charset val="134"/>
          </rPr>
          <t xml:space="preserve">
盖章日期为有效期开始日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<sst xmlns="http://schemas.openxmlformats.org/spreadsheetml/2006/main" count="305" uniqueCount="110">
  <si>
    <t>序号</t>
  </si>
  <si>
    <t>岗位</t>
  </si>
  <si>
    <t>部门</t>
  </si>
  <si>
    <t>姓名</t>
  </si>
  <si>
    <t>岗位技能培训项目</t>
  </si>
  <si>
    <t>相片</t>
  </si>
  <si>
    <t>表头</t>
  </si>
  <si>
    <t>性别</t>
  </si>
  <si>
    <t>入职时间</t>
  </si>
  <si>
    <t>移动电话</t>
  </si>
  <si>
    <t>股份</t>
  </si>
  <si>
    <t>股份分数</t>
  </si>
  <si>
    <t>公共区</t>
  </si>
  <si>
    <t>公共区分数</t>
  </si>
  <si>
    <r>
      <rPr>
        <b/>
        <sz val="11"/>
        <color theme="1"/>
        <rFont val="宋体"/>
        <charset val="134"/>
        <scheme val="minor"/>
      </rPr>
      <t>安全通识培训</t>
    </r>
    <r>
      <rPr>
        <sz val="11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运行管理部第一堂安全课
消防安全
反诈骗教育培训
治安管理处罚法</t>
    </r>
  </si>
  <si>
    <t>运行管理部第一堂安全课分数</t>
  </si>
  <si>
    <t>消防安全分数</t>
  </si>
  <si>
    <t>反诈骗教育培训分数</t>
  </si>
  <si>
    <t>治安管理处罚法分数</t>
  </si>
  <si>
    <r>
      <rPr>
        <b/>
        <sz val="11"/>
        <color theme="1"/>
        <rFont val="宋体"/>
        <charset val="134"/>
        <scheme val="minor"/>
      </rPr>
      <t>岗位技能培训</t>
    </r>
    <r>
      <rPr>
        <sz val="11"/>
        <color theme="1"/>
        <rFont val="宋体"/>
        <charset val="134"/>
        <scheme val="minor"/>
      </rPr>
      <t xml:space="preserve">
</t>
    </r>
    <r>
      <rPr>
        <sz val="9"/>
        <color rgb="FFFF0000"/>
        <rFont val="宋体"/>
        <charset val="134"/>
        <scheme val="minor"/>
      </rPr>
      <t>岗位手册培训</t>
    </r>
  </si>
  <si>
    <t>岗位手册培训分数</t>
  </si>
  <si>
    <r>
      <rPr>
        <b/>
        <sz val="11"/>
        <color theme="1"/>
        <rFont val="宋体"/>
        <charset val="134"/>
        <scheme val="minor"/>
      </rPr>
      <t>岗位技能培训</t>
    </r>
    <r>
      <rPr>
        <sz val="9"/>
        <color rgb="FFFF0000"/>
        <rFont val="宋体"/>
        <charset val="134"/>
        <scheme val="minor"/>
      </rPr>
      <t xml:space="preserve">
宿舍安全
反恐安全
交通安全
电梯安全</t>
    </r>
  </si>
  <si>
    <t>宿舍安全分数</t>
  </si>
  <si>
    <t>反恐安全分数</t>
  </si>
  <si>
    <t>交通安全分数</t>
  </si>
  <si>
    <t>电梯安全分数</t>
  </si>
  <si>
    <r>
      <rPr>
        <b/>
        <sz val="11"/>
        <color theme="1"/>
        <rFont val="宋体"/>
        <charset val="134"/>
        <scheme val="minor"/>
      </rPr>
      <t>岗位技能培训</t>
    </r>
    <r>
      <rPr>
        <sz val="11"/>
        <color theme="1"/>
        <rFont val="宋体"/>
        <charset val="134"/>
        <scheme val="minor"/>
      </rPr>
      <t xml:space="preserve">
</t>
    </r>
    <r>
      <rPr>
        <sz val="9"/>
        <color rgb="FFFF0000"/>
        <rFont val="宋体"/>
        <charset val="134"/>
        <scheme val="minor"/>
      </rPr>
      <t>急救培训
典型不安全事件警示教育</t>
    </r>
  </si>
  <si>
    <t>急救培训分数</t>
  </si>
  <si>
    <t>典型不安全事件警示教育分数</t>
  </si>
  <si>
    <r>
      <rPr>
        <b/>
        <sz val="11"/>
        <color theme="1"/>
        <rFont val="宋体"/>
        <charset val="134"/>
        <scheme val="minor"/>
      </rPr>
      <t>岗位实操培训</t>
    </r>
    <r>
      <rPr>
        <sz val="11"/>
        <color theme="1"/>
        <rFont val="宋体"/>
        <charset val="134"/>
        <scheme val="minor"/>
      </rPr>
      <t xml:space="preserve">
</t>
    </r>
    <r>
      <rPr>
        <sz val="8"/>
        <color rgb="FFFF0000"/>
        <rFont val="宋体"/>
        <charset val="134"/>
        <scheme val="minor"/>
      </rPr>
      <t>灭火器、消火栓使用操作
突发事件应急处置流程模拟实操
防暴器材实操/岗位技能培训</t>
    </r>
  </si>
  <si>
    <t>灭火器、消火栓使用操作分数</t>
  </si>
  <si>
    <t>突发事件应急处置流程模拟实操分数</t>
  </si>
  <si>
    <t>防暴器材实操/岗位技能培训分数</t>
  </si>
  <si>
    <t>培训日期起</t>
  </si>
  <si>
    <t>培训日期止</t>
  </si>
  <si>
    <t>有效期起</t>
  </si>
  <si>
    <t>有效期止</t>
  </si>
  <si>
    <t>盖章日期</t>
  </si>
  <si>
    <t>秩序员</t>
  </si>
  <si>
    <t>运行部</t>
  </si>
  <si>
    <t>叶东林</t>
  </si>
  <si>
    <t>叶东林.jpg</t>
  </si>
  <si>
    <t>男</t>
  </si>
  <si>
    <t>监控员</t>
  </si>
  <si>
    <t>陶靖惠</t>
  </si>
  <si>
    <t>陶靖惠.jpg</t>
  </si>
  <si>
    <t>女</t>
  </si>
  <si>
    <t>员 工 培 训 记 录</t>
  </si>
  <si>
    <t>培训项目</t>
  </si>
  <si>
    <t>具体课程</t>
  </si>
  <si>
    <t>课程类别在相应栏目划“√”（下同）</t>
  </si>
  <si>
    <t>授课人及授课时间地点</t>
  </si>
  <si>
    <t>课时</t>
  </si>
  <si>
    <t>受训人课堂表现（在相应栏目划“√”
或填写具体情况，无则划“/”）</t>
  </si>
  <si>
    <t>笔试分数（如无笔试则划“/”</t>
  </si>
  <si>
    <t>本次培训结果</t>
  </si>
  <si>
    <t>确认人（即本次培训组织人）</t>
  </si>
  <si>
    <t>通识</t>
  </si>
  <si>
    <t>岗位技能</t>
  </si>
  <si>
    <t>授课人</t>
  </si>
  <si>
    <t>时间</t>
  </si>
  <si>
    <t>地点</t>
  </si>
  <si>
    <t>专心听讲，全程积极配合</t>
  </si>
  <si>
    <t>专心听讲，配合较积极</t>
  </si>
  <si>
    <t>迟到、早退、缺席</t>
  </si>
  <si>
    <t>从事与培训无关的活动，如打瞌睡、玩电子产品、看课外书、聊天等</t>
  </si>
  <si>
    <t>通过</t>
  </si>
  <si>
    <t>未通过需重训</t>
  </si>
  <si>
    <t>股份员工准入培训</t>
  </si>
  <si>
    <t>委外员工准入资格培训（股份）</t>
  </si>
  <si>
    <t>√</t>
  </si>
  <si>
    <t>安全监察部</t>
  </si>
  <si>
    <t>P8停车楼</t>
  </si>
  <si>
    <t>/</t>
  </si>
  <si>
    <t>安全知识教育培训</t>
  </si>
  <si>
    <t>服务品质部</t>
  </si>
  <si>
    <t>白云机场新入职员工服务培训</t>
  </si>
  <si>
    <t>潘俊杰</t>
  </si>
  <si>
    <t>火灾的预防与应对-消防培训</t>
  </si>
  <si>
    <t>客户服务中心</t>
  </si>
  <si>
    <t>《首问责任》知识/春风服务与志愿服务</t>
  </si>
  <si>
    <t>人力资源部</t>
  </si>
  <si>
    <t>公共区员工资质培训</t>
  </si>
  <si>
    <t>基本通识（公共区）</t>
  </si>
  <si>
    <t>陈集龙</t>
  </si>
  <si>
    <t>安全通识（公共区）</t>
  </si>
  <si>
    <t>鹿婷婷</t>
  </si>
  <si>
    <t>服务通识（公共区）</t>
  </si>
  <si>
    <t>邓婕</t>
  </si>
  <si>
    <t>安全通识培训</t>
  </si>
  <si>
    <t>运行管理部第一堂安全课</t>
  </si>
  <si>
    <t>运行管理部</t>
  </si>
  <si>
    <t>消防安全</t>
  </si>
  <si>
    <t>反诈骗教育</t>
  </si>
  <si>
    <t>治安管理处罚法</t>
  </si>
  <si>
    <t>岗位技能培训</t>
  </si>
  <si>
    <t>岗位手册</t>
  </si>
  <si>
    <t>宿舍安全</t>
  </si>
  <si>
    <t>反恐安全</t>
  </si>
  <si>
    <t>交通安全</t>
  </si>
  <si>
    <t>电梯安全</t>
  </si>
  <si>
    <t>急救培训</t>
  </si>
  <si>
    <t>典型不安全事件警示教育</t>
  </si>
  <si>
    <t>岗位实操培训</t>
  </si>
  <si>
    <t>灭火器、消火栓使用操作</t>
  </si>
  <si>
    <t>突发事件应急处置流程模拟实操</t>
  </si>
  <si>
    <t>防暴器材实操</t>
  </si>
  <si>
    <t>反诈骗教育培训</t>
  </si>
  <si>
    <t>岗位手册培训</t>
  </si>
  <si>
    <t>防暴器材实操/岗位技能培训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</si>
</sst>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3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仿宋_GB2312"/>
      <charset val="134"/>
    </font>
    <font>
      <sz val="11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"/>
      <charset val="134"/>
      <scheme val="minor"/>
    </font>
    <font>
      <sz val="8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6" fontId="0" fillId="0" borderId="2" xfId="0" applyNumberForma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57" fontId="2" fillId="0" borderId="2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176" fontId="9" fillId="3" borderId="2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177" fontId="8" fillId="0" borderId="2" xfId="0" applyNumberFormat="1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  <color rgb="00FFFF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wechat_files\wxid_j5760hzu9y3h22_95f2\msg\file\2026-05\&#27169;&#29256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源表"/>
      <sheetName val="模板测试"/>
      <sheetName val="杨德平"/>
      <sheetName val="丘燁新"/>
      <sheetName val="黄卿"/>
      <sheetName val="马伟"/>
      <sheetName val="龙天辰"/>
      <sheetName val="阮禹羿"/>
      <sheetName val="葛嘉敏"/>
      <sheetName val="葛嘉慧"/>
    </sheetNames>
    <sheetDataSet>
      <sheetData sheetId="0" refreshError="1">
        <row r="1">
          <cell r="D1" t="str">
            <v>姓名</v>
          </cell>
          <cell r="E1" t="str">
            <v>相片</v>
          </cell>
          <cell r="F1" t="str">
            <v>表头</v>
          </cell>
          <cell r="G1" t="str">
            <v>性别</v>
          </cell>
          <cell r="H1" t="str">
            <v>入职时间</v>
          </cell>
          <cell r="I1" t="str">
            <v>移动电话</v>
          </cell>
          <cell r="J1" t="str">
            <v>安全技能培训</v>
          </cell>
          <cell r="K1" t="str">
            <v>灭火器、消火栓使用操作分数</v>
          </cell>
          <cell r="L1" t="str">
            <v>突发事件应急处置流程模拟实操分数</v>
          </cell>
          <cell r="M1" t="str">
            <v>岗位技能培训(岗位手册)</v>
          </cell>
          <cell r="N1" t="str">
            <v>岗位技能培训(岗位手册)分数</v>
          </cell>
          <cell r="O1" t="str">
            <v>岗位技能现场实操</v>
          </cell>
          <cell r="P1" t="str">
            <v>岗位技能现场实操分数</v>
          </cell>
          <cell r="Q1" t="str">
            <v>公共区员工资质培训</v>
          </cell>
          <cell r="R1" t="str">
            <v>公共区员工资质培训分数</v>
          </cell>
          <cell r="S1" t="str">
            <v>岗位安全通识培训</v>
          </cell>
          <cell r="T1" t="str">
            <v>岗位安全通识培训分数</v>
          </cell>
          <cell r="U1" t="str">
            <v>安全法律法规培训</v>
          </cell>
          <cell r="V1" t="str">
            <v>安全法律法规培训分数</v>
          </cell>
          <cell r="W1" t="str">
            <v>职业健康教育</v>
          </cell>
          <cell r="X1" t="str">
            <v>职业健康教育分数</v>
          </cell>
          <cell r="Y1" t="str">
            <v>面客场景服务话述与客诉处理及案例分析培训</v>
          </cell>
          <cell r="Z1" t="str">
            <v>面客场景服务话述与客诉处理及案例分析培训分数</v>
          </cell>
          <cell r="AA1" t="str">
            <v>服务礼仪、职业道德培训</v>
          </cell>
          <cell r="AB1" t="str">
            <v>服务礼仪、职业道德培训分数</v>
          </cell>
          <cell r="AC1" t="str">
            <v>春风服务、春风服务基本法宣贯培训</v>
          </cell>
          <cell r="AD1" t="str">
            <v>春风服务、春风服务基本法宣贯培训分数</v>
          </cell>
          <cell r="AE1" t="str">
            <v>白云机场企业文化、应知应会宣贯培训</v>
          </cell>
          <cell r="AF1" t="str">
            <v>白云机场企业文化、应知应会宣贯培训分数</v>
          </cell>
          <cell r="AG1" t="str">
            <v>股份员工准入培训</v>
          </cell>
          <cell r="AH1" t="str">
            <v>股份员工准入培训分数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L6"/>
  <sheetViews>
    <sheetView tabSelected="1" workbookViewId="0">
      <pane xSplit="4" ySplit="1" topLeftCell="Q2" activePane="bottomRight" state="frozen"/>
      <selection/>
      <selection pane="topRight"/>
      <selection pane="bottomLeft"/>
      <selection pane="bottomRight" activeCell="B1" sqref="B1:AK1"/>
    </sheetView>
  </sheetViews>
  <sheetFormatPr defaultColWidth="9" defaultRowHeight="13.5" outlineLevelRow="5"/>
  <cols>
    <col min="1" max="1" width="4.375" style="16" customWidth="1"/>
    <col min="2" max="3" width="7" style="16" customWidth="1"/>
    <col min="4" max="5" width="7.96666666666667" style="17" customWidth="1"/>
    <col min="6" max="6" width="10.1583333333333" style="16" customWidth="1"/>
    <col min="7" max="7" width="18.625" style="16" customWidth="1"/>
    <col min="8" max="8" width="7.4" style="16" customWidth="1"/>
    <col min="9" max="9" width="14.5166666666667" style="16" customWidth="1"/>
    <col min="10" max="10" width="12.625" style="16" customWidth="1"/>
    <col min="11" max="11" width="15.625" style="16" customWidth="1"/>
    <col min="12" max="12" width="8.125" style="16" customWidth="1"/>
    <col min="13" max="13" width="15.625" style="16" customWidth="1"/>
    <col min="14" max="14" width="10" style="16" customWidth="1"/>
    <col min="15" max="15" width="15.625" style="16" customWidth="1"/>
    <col min="16" max="16" width="8.28333333333333" style="16" customWidth="1"/>
    <col min="17" max="17" width="7.025" style="16" customWidth="1"/>
    <col min="18" max="18" width="7.34166666666667" style="18" customWidth="1"/>
    <col min="19" max="19" width="7.35" style="19" customWidth="1"/>
    <col min="20" max="20" width="13.375" style="18" customWidth="1"/>
    <col min="21" max="21" width="6.25" style="19" customWidth="1"/>
    <col min="22" max="22" width="13.375" style="18" customWidth="1"/>
    <col min="23" max="23" width="6.25" style="19" customWidth="1"/>
    <col min="24" max="25" width="6.25" style="18" customWidth="1"/>
    <col min="26" max="26" width="6.25" style="16" customWidth="1"/>
    <col min="27" max="27" width="13.375" style="16" customWidth="1"/>
    <col min="28" max="28" width="5.625" style="16" customWidth="1"/>
    <col min="29" max="29" width="6.86666666666667" style="16" customWidth="1"/>
    <col min="30" max="30" width="13.375" style="16" customWidth="1"/>
    <col min="31" max="33" width="8.125" style="16" customWidth="1"/>
    <col min="34" max="38" width="15.7666666666667" style="16" customWidth="1"/>
    <col min="39" max="16384" width="9" style="16"/>
  </cols>
  <sheetData>
    <row r="1" ht="88" customHeight="1" spans="1:38">
      <c r="A1" s="20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3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3" t="s">
        <v>19</v>
      </c>
      <c r="U1" s="22" t="s">
        <v>20</v>
      </c>
      <c r="V1" s="23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3" t="s">
        <v>26</v>
      </c>
      <c r="AB1" s="22" t="s">
        <v>27</v>
      </c>
      <c r="AC1" s="22" t="s">
        <v>28</v>
      </c>
      <c r="AD1" s="23" t="s">
        <v>29</v>
      </c>
      <c r="AE1" s="22" t="s">
        <v>30</v>
      </c>
      <c r="AF1" s="22" t="s">
        <v>31</v>
      </c>
      <c r="AG1" s="22" t="s">
        <v>32</v>
      </c>
      <c r="AH1" s="24" t="s">
        <v>33</v>
      </c>
      <c r="AI1" s="24" t="s">
        <v>34</v>
      </c>
      <c r="AJ1" s="25" t="s">
        <v>35</v>
      </c>
      <c r="AK1" s="25" t="s">
        <v>36</v>
      </c>
      <c r="AL1" s="24" t="s">
        <v>37</v>
      </c>
    </row>
    <row r="2" ht="57" customHeight="1" spans="1:38">
      <c r="A2" s="26">
        <v>1</v>
      </c>
      <c r="B2" s="27" t="s">
        <v>38</v>
      </c>
      <c r="C2" s="28" t="s">
        <v>39</v>
      </c>
      <c r="D2" s="29" t="s">
        <v>40</v>
      </c>
      <c r="E2" s="29" t="str">
        <f>IF(B2="秩序员","防暴器材实操",B2&amp;"岗位技能培训")</f>
        <v>防暴器材实操</v>
      </c>
      <c r="F2" s="30" t="s">
        <v>41</v>
      </c>
      <c r="G2" s="31" t="str">
        <f>"委外单位：广州航驿停车场管理有限公司
岗位/部门："&amp;B2&amp;"/"&amp;C2&amp;"
姓名:"&amp;D2</f>
        <v>委外单位：广州航驿停车场管理有限公司
岗位/部门：秩序员/运行部
姓名:叶东林</v>
      </c>
      <c r="H2" s="27" t="s">
        <v>42</v>
      </c>
      <c r="I2" s="32">
        <v>46119</v>
      </c>
      <c r="J2" s="27">
        <v>14767235906</v>
      </c>
      <c r="K2" s="33">
        <v>46171</v>
      </c>
      <c r="L2" s="34">
        <v>1235</v>
      </c>
      <c r="M2" s="33">
        <v>46171</v>
      </c>
      <c r="N2" s="35">
        <v>51234</v>
      </c>
      <c r="O2" s="33">
        <v>46173</v>
      </c>
      <c r="P2" s="34">
        <v>124</v>
      </c>
      <c r="Q2" s="34">
        <v>575</v>
      </c>
      <c r="R2" s="34">
        <v>123</v>
      </c>
      <c r="S2" s="34">
        <v>41</v>
      </c>
      <c r="T2" s="10">
        <v>46175</v>
      </c>
      <c r="U2" s="34">
        <v>986</v>
      </c>
      <c r="V2" s="10">
        <v>46175</v>
      </c>
      <c r="W2" s="34">
        <v>245</v>
      </c>
      <c r="X2" s="34">
        <v>542</v>
      </c>
      <c r="Y2" s="34">
        <v>78</v>
      </c>
      <c r="Z2" s="34">
        <v>45</v>
      </c>
      <c r="AA2" s="10">
        <v>46175</v>
      </c>
      <c r="AB2" s="34">
        <v>95</v>
      </c>
      <c r="AC2" s="34">
        <v>48</v>
      </c>
      <c r="AD2" s="10">
        <v>46175</v>
      </c>
      <c r="AE2" s="36">
        <v>55</v>
      </c>
      <c r="AF2" s="36">
        <v>77</v>
      </c>
      <c r="AG2" s="36">
        <v>95</v>
      </c>
      <c r="AH2" s="33">
        <f>K2</f>
        <v>46171</v>
      </c>
      <c r="AI2" s="33">
        <f>AD2</f>
        <v>46175</v>
      </c>
      <c r="AJ2" s="33">
        <f>AI2+1</f>
        <v>46176</v>
      </c>
      <c r="AK2" s="33">
        <v>46568</v>
      </c>
      <c r="AL2" s="33">
        <f>AH2</f>
        <v>46171</v>
      </c>
    </row>
    <row r="3" ht="57" customHeight="1" spans="1:38">
      <c r="A3" s="26">
        <v>2</v>
      </c>
      <c r="B3" s="37" t="s">
        <v>43</v>
      </c>
      <c r="C3" s="28" t="s">
        <v>39</v>
      </c>
      <c r="D3" s="38" t="s">
        <v>44</v>
      </c>
      <c r="E3" s="29" t="str">
        <f>IF(B3="秩序员","防暴器材实操",B3&amp;"岗位技能培训")</f>
        <v>监控员岗位技能培训</v>
      </c>
      <c r="F3" s="30" t="s">
        <v>45</v>
      </c>
      <c r="G3" s="31" t="str">
        <f>"委外单位：广州航驿停车场管理有限公司
岗位/部门："&amp;B3&amp;"/"&amp;C3&amp;"
姓名:"&amp;D3</f>
        <v>委外单位：广州航驿停车场管理有限公司
岗位/部门：监控员/运行部
姓名:陶靖惠</v>
      </c>
      <c r="H3" s="39" t="s">
        <v>46</v>
      </c>
      <c r="I3" s="32">
        <v>46119</v>
      </c>
      <c r="J3" s="39">
        <v>13179259531</v>
      </c>
      <c r="K3" s="33">
        <v>46172</v>
      </c>
      <c r="L3" s="34">
        <v>1236</v>
      </c>
      <c r="M3" s="33">
        <v>46172</v>
      </c>
      <c r="N3" s="35">
        <v>51235</v>
      </c>
      <c r="O3" s="33">
        <v>46174</v>
      </c>
      <c r="P3" s="34">
        <v>125</v>
      </c>
      <c r="Q3" s="34">
        <v>576</v>
      </c>
      <c r="R3" s="34">
        <v>124</v>
      </c>
      <c r="S3" s="34">
        <v>42</v>
      </c>
      <c r="T3" s="10">
        <v>46176</v>
      </c>
      <c r="U3" s="34">
        <v>987</v>
      </c>
      <c r="V3" s="10">
        <v>46176</v>
      </c>
      <c r="W3" s="34">
        <v>246</v>
      </c>
      <c r="X3" s="34">
        <v>543</v>
      </c>
      <c r="Y3" s="34">
        <v>79</v>
      </c>
      <c r="Z3" s="34">
        <v>46</v>
      </c>
      <c r="AA3" s="10">
        <v>46176</v>
      </c>
      <c r="AB3" s="34">
        <v>96</v>
      </c>
      <c r="AC3" s="34">
        <v>49</v>
      </c>
      <c r="AD3" s="10">
        <v>46176</v>
      </c>
      <c r="AE3" s="36">
        <v>56</v>
      </c>
      <c r="AF3" s="36">
        <v>78</v>
      </c>
      <c r="AG3" s="36">
        <v>96</v>
      </c>
      <c r="AH3" s="33">
        <f>K3</f>
        <v>46172</v>
      </c>
      <c r="AI3" s="33">
        <f>AD3</f>
        <v>46176</v>
      </c>
      <c r="AJ3" s="33">
        <f>AI3+1</f>
        <v>46177</v>
      </c>
      <c r="AK3" s="33">
        <v>46569</v>
      </c>
      <c r="AL3" s="33">
        <f>AH3</f>
        <v>46172</v>
      </c>
    </row>
    <row r="6" spans="1:38"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</sheetData>
  <conditionalFormatting sqref="D1:E1">
    <cfRule type="duplicateValues" dxfId="0" priority="1"/>
  </conditionalFormatting>
  <conditionalFormatting sqref="D2:E3"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</conditionalFormatting>
  <conditionalFormatting sqref="D2:E5 D7:E1048576">
    <cfRule type="duplicateValues" dxfId="0" priority="2"/>
  </conditionalFormatting>
  <pageMargins left="0.472222222222222" right="0.25" top="0.156944444444444" bottom="0.156944444444444" header="0.297916666666667" footer="0.297916666666667"/>
  <pageSetup paperSize="9" scale="6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6"/>
  <sheetViews>
    <sheetView zoomScale="70" zoomScaleNormal="70" topLeftCell="A2" workbookViewId="0">
      <selection activeCell="G13" sqref="G13"/>
    </sheetView>
  </sheetViews>
  <sheetFormatPr defaultColWidth="9" defaultRowHeight="13.5"/>
  <cols>
    <col min="1" max="1" width="5.625" customWidth="1"/>
    <col min="2" max="2" width="21.65" customWidth="1"/>
    <col min="3" max="3" width="27" customWidth="1"/>
    <col min="4" max="4" width="4.25833333333333" customWidth="1"/>
    <col min="5" max="5" width="4" customWidth="1"/>
    <col min="6" max="6" width="15.0916666666667" customWidth="1"/>
    <col min="7" max="7" width="15.625" customWidth="1"/>
    <col min="8" max="8" width="11.725" customWidth="1"/>
    <col min="9" max="9" width="5.75833333333333" customWidth="1"/>
    <col min="10" max="12" width="6.875" customWidth="1"/>
    <col min="13" max="13" width="11.875" customWidth="1"/>
    <col min="14" max="14" width="7.125" customWidth="1"/>
    <col min="15" max="15" width="6.25833333333333" customWidth="1"/>
    <col min="16" max="16" width="6.50833333333333" customWidth="1"/>
    <col min="17" max="17" width="12.275" customWidth="1"/>
  </cols>
  <sheetData>
    <row r="1" ht="60" customHeight="1" spans="1:17">
      <c r="A1" s="5" t="e" cm="1">
        <f ca="1" t="array" ref="A1">VLOOKUP(_wpsfn.SHEETSNAME($A$1),INDIRECT("数据源表!$d$1:$AH$300"),3,FALSE)</f>
        <v>#N/A</v>
      </c>
      <c r="B1" s="5"/>
      <c r="C1" s="5"/>
      <c r="D1" s="5"/>
      <c r="E1" s="5"/>
      <c r="F1" s="6" t="s">
        <v>47</v>
      </c>
      <c r="G1" s="7"/>
      <c r="H1" s="7"/>
      <c r="I1" s="6"/>
      <c r="J1" s="6"/>
      <c r="K1" s="6"/>
      <c r="L1" s="6"/>
      <c r="M1" s="6"/>
      <c r="N1" s="6"/>
      <c r="O1" s="6"/>
      <c r="P1" s="6"/>
      <c r="Q1" s="6"/>
    </row>
    <row r="2" ht="84" customHeight="1" spans="1:17">
      <c r="A2" s="8" t="s">
        <v>0</v>
      </c>
      <c r="B2" s="8" t="s">
        <v>48</v>
      </c>
      <c r="C2" s="8" t="s">
        <v>49</v>
      </c>
      <c r="D2" s="9" t="s">
        <v>50</v>
      </c>
      <c r="E2" s="9"/>
      <c r="F2" s="9" t="s">
        <v>51</v>
      </c>
      <c r="G2" s="8"/>
      <c r="H2" s="8"/>
      <c r="I2" s="9" t="s">
        <v>52</v>
      </c>
      <c r="J2" s="9" t="s">
        <v>53</v>
      </c>
      <c r="K2" s="9"/>
      <c r="L2" s="9"/>
      <c r="M2" s="9"/>
      <c r="N2" s="9" t="s">
        <v>54</v>
      </c>
      <c r="O2" s="8" t="s">
        <v>55</v>
      </c>
      <c r="P2" s="8"/>
      <c r="Q2" s="9" t="s">
        <v>56</v>
      </c>
    </row>
    <row r="3" ht="60" spans="1:17">
      <c r="A3" s="8"/>
      <c r="B3" s="8"/>
      <c r="C3" s="8"/>
      <c r="D3" s="8" t="s">
        <v>57</v>
      </c>
      <c r="E3" s="9" t="s">
        <v>58</v>
      </c>
      <c r="F3" s="9" t="s">
        <v>59</v>
      </c>
      <c r="G3" s="8" t="s">
        <v>60</v>
      </c>
      <c r="H3" s="8" t="s">
        <v>61</v>
      </c>
      <c r="I3" s="9"/>
      <c r="J3" s="9" t="s">
        <v>62</v>
      </c>
      <c r="K3" s="9" t="s">
        <v>63</v>
      </c>
      <c r="L3" s="9" t="s">
        <v>64</v>
      </c>
      <c r="M3" s="9" t="s">
        <v>65</v>
      </c>
      <c r="N3" s="9"/>
      <c r="O3" s="8" t="s">
        <v>66</v>
      </c>
      <c r="P3" s="9" t="s">
        <v>67</v>
      </c>
      <c r="Q3" s="9"/>
    </row>
    <row r="4" ht="28.5" customHeight="1" spans="1:17">
      <c r="A4" s="8">
        <v>1</v>
      </c>
      <c r="B4" s="9" t="s">
        <v>68</v>
      </c>
      <c r="C4" s="9" t="s">
        <v>69</v>
      </c>
      <c r="D4" s="9" t="s">
        <v>70</v>
      </c>
      <c r="E4" s="9"/>
      <c r="F4" s="9" t="s">
        <v>71</v>
      </c>
      <c r="G4" s="10" t="e" cm="1">
        <f ca="1" t="array" ref="G4">VLOOKUP(_wpsfn.SHEETSNAME($A$1),INDIRECT("数据源表!$d$1:$AH$300"),_xlfn.IFNA(MATCH(B4,[1]数据源表!$D$1:$AH$1,0),MATCH(C4,[1]数据源表!$D$1:$AH$1,0)),FALSE)</f>
        <v>#N/A</v>
      </c>
      <c r="H4" s="8" t="s">
        <v>72</v>
      </c>
      <c r="I4" s="9">
        <v>1</v>
      </c>
      <c r="J4" s="9" t="s">
        <v>70</v>
      </c>
      <c r="K4" s="9" t="s">
        <v>73</v>
      </c>
      <c r="L4" s="9" t="s">
        <v>73</v>
      </c>
      <c r="M4" s="9" t="s">
        <v>73</v>
      </c>
      <c r="N4" s="11" t="e" cm="1">
        <f ca="1" t="array" ref="N4">VLOOKUP(_wpsfn.SHEETSNAME($A$1),INDIRECT("数据源表!$d$1:$AH$300"),_xlfn.IFNA(MATCH(B4&amp;"分数",[1]数据源表!$D$1:$AH$1,0),MATCH(C4&amp;"分数",[1]数据源表!$D$1:$AH$1,0)),FALSE)</f>
        <v>#N/A</v>
      </c>
      <c r="O4" s="8" t="s">
        <v>70</v>
      </c>
      <c r="P4" s="9"/>
      <c r="Q4" s="9"/>
    </row>
    <row r="5" ht="28.5" customHeight="1" spans="1:17">
      <c r="A5" s="8">
        <v>2</v>
      </c>
      <c r="B5" s="9" t="s">
        <v>68</v>
      </c>
      <c r="C5" s="9" t="s">
        <v>74</v>
      </c>
      <c r="D5" s="9" t="s">
        <v>70</v>
      </c>
      <c r="E5" s="9"/>
      <c r="F5" s="9" t="s">
        <v>75</v>
      </c>
      <c r="G5" s="10" t="e" cm="1">
        <f ca="1" t="array" ref="G5">VLOOKUP(_wpsfn.SHEETSNAME($A$1),INDIRECT("数据源表!$d$1:$AH$300"),_xlfn.IFNA(MATCH(B5,[1]数据源表!$D$1:$AH$1,0),MATCH(C5,[1]数据源表!$D$1:$AH$1,0)),FALSE)</f>
        <v>#N/A</v>
      </c>
      <c r="H5" s="8" t="s">
        <v>72</v>
      </c>
      <c r="I5" s="9">
        <v>1</v>
      </c>
      <c r="J5" s="9" t="s">
        <v>70</v>
      </c>
      <c r="K5" s="9" t="s">
        <v>73</v>
      </c>
      <c r="L5" s="9" t="s">
        <v>73</v>
      </c>
      <c r="M5" s="9" t="s">
        <v>73</v>
      </c>
      <c r="N5" s="11" t="e" cm="1">
        <f ca="1" t="array" ref="N5">VLOOKUP(_wpsfn.SHEETSNAME($A$1),INDIRECT("数据源表!$d$1:$AH$300"),_xlfn.IFNA(MATCH(B5&amp;"分数",[1]数据源表!$D$1:$AH$1,0),MATCH(C5&amp;"分数",[1]数据源表!$D$1:$AH$1,0)),FALSE)</f>
        <v>#N/A</v>
      </c>
      <c r="O5" s="8" t="s">
        <v>70</v>
      </c>
      <c r="P5" s="9"/>
      <c r="Q5" s="9"/>
    </row>
    <row r="6" ht="28.5" customHeight="1" spans="1:17">
      <c r="A6" s="8">
        <v>3</v>
      </c>
      <c r="B6" s="9" t="s">
        <v>68</v>
      </c>
      <c r="C6" s="9" t="s">
        <v>76</v>
      </c>
      <c r="D6" s="9" t="s">
        <v>70</v>
      </c>
      <c r="E6" s="9"/>
      <c r="F6" s="9" t="s">
        <v>77</v>
      </c>
      <c r="G6" s="10" t="e" cm="1">
        <f ca="1" t="array" ref="G6">VLOOKUP(_wpsfn.SHEETSNAME($A$1),INDIRECT("数据源表!$d$1:$AH$300"),_xlfn.IFNA(MATCH(B6,[1]数据源表!$D$1:$AH$1,0),MATCH(C6,[1]数据源表!$D$1:$AH$1,0)),FALSE)</f>
        <v>#N/A</v>
      </c>
      <c r="H6" s="8" t="s">
        <v>72</v>
      </c>
      <c r="I6" s="9">
        <v>1</v>
      </c>
      <c r="J6" s="9" t="s">
        <v>70</v>
      </c>
      <c r="K6" s="9" t="s">
        <v>73</v>
      </c>
      <c r="L6" s="9" t="s">
        <v>73</v>
      </c>
      <c r="M6" s="9" t="s">
        <v>73</v>
      </c>
      <c r="N6" s="11" t="e" cm="1">
        <f ca="1" t="array" ref="N6">VLOOKUP(_wpsfn.SHEETSNAME($A$1),INDIRECT("数据源表!$d$1:$AH$300"),_xlfn.IFNA(MATCH(B6&amp;"分数",[1]数据源表!$D$1:$AH$1,0),MATCH(C6&amp;"分数",[1]数据源表!$D$1:$AH$1,0)),FALSE)</f>
        <v>#N/A</v>
      </c>
      <c r="O6" s="8" t="s">
        <v>70</v>
      </c>
      <c r="P6" s="9"/>
      <c r="Q6" s="9"/>
    </row>
    <row r="7" ht="28.5" customHeight="1" spans="1:17">
      <c r="A7" s="8">
        <v>4</v>
      </c>
      <c r="B7" s="9" t="s">
        <v>68</v>
      </c>
      <c r="C7" s="12" t="s">
        <v>78</v>
      </c>
      <c r="D7" s="9" t="s">
        <v>70</v>
      </c>
      <c r="E7" s="9"/>
      <c r="F7" s="9" t="s">
        <v>79</v>
      </c>
      <c r="G7" s="10" t="e" cm="1">
        <f ca="1" t="array" ref="G7">VLOOKUP(_wpsfn.SHEETSNAME($A$1),INDIRECT("数据源表!$d$1:$AH$300"),_xlfn.IFNA(MATCH(B7,[1]数据源表!$D$1:$AH$1,0),MATCH(C7,[1]数据源表!$D$1:$AH$1,0)),FALSE)</f>
        <v>#N/A</v>
      </c>
      <c r="H7" s="8" t="s">
        <v>72</v>
      </c>
      <c r="I7" s="9">
        <v>1</v>
      </c>
      <c r="J7" s="9" t="s">
        <v>73</v>
      </c>
      <c r="K7" s="9" t="s">
        <v>73</v>
      </c>
      <c r="L7" s="9" t="s">
        <v>73</v>
      </c>
      <c r="M7" s="9" t="s">
        <v>73</v>
      </c>
      <c r="N7" s="11" t="e" cm="1">
        <f ca="1" t="array" ref="N7">VLOOKUP(_wpsfn.SHEETSNAME($A$1),INDIRECT("数据源表!$d$1:$AH$300"),_xlfn.IFNA(MATCH(B7&amp;"分数",[1]数据源表!$D$1:$AH$1,0),MATCH(C7&amp;"分数",[1]数据源表!$D$1:$AH$1,0)),FALSE)</f>
        <v>#N/A</v>
      </c>
      <c r="O7" s="8" t="s">
        <v>70</v>
      </c>
      <c r="P7" s="9"/>
      <c r="Q7" s="9"/>
    </row>
    <row r="8" ht="28.5" customHeight="1" spans="1:17">
      <c r="A8" s="8">
        <v>5</v>
      </c>
      <c r="B8" s="9" t="s">
        <v>68</v>
      </c>
      <c r="C8" s="12" t="s">
        <v>80</v>
      </c>
      <c r="D8" s="9" t="s">
        <v>70</v>
      </c>
      <c r="E8" s="9"/>
      <c r="F8" s="9" t="s">
        <v>81</v>
      </c>
      <c r="G8" s="10" t="e" cm="1">
        <f ca="1" t="array" ref="G8">VLOOKUP(_wpsfn.SHEETSNAME($A$1),INDIRECT("数据源表!$d$1:$AH$300"),_xlfn.IFNA(MATCH(B8,[1]数据源表!$D$1:$AH$1,0),MATCH(C8,[1]数据源表!$D$1:$AH$1,0)),FALSE)</f>
        <v>#N/A</v>
      </c>
      <c r="H8" s="8" t="s">
        <v>72</v>
      </c>
      <c r="I8" s="9">
        <v>1</v>
      </c>
      <c r="J8" s="9" t="s">
        <v>70</v>
      </c>
      <c r="K8" s="9" t="s">
        <v>73</v>
      </c>
      <c r="L8" s="9" t="s">
        <v>73</v>
      </c>
      <c r="M8" s="9" t="s">
        <v>73</v>
      </c>
      <c r="N8" s="11" t="e" cm="1">
        <f ca="1" t="array" ref="N8">VLOOKUP(_wpsfn.SHEETSNAME($A$1),INDIRECT("数据源表!$d$1:$AH$300"),_xlfn.IFNA(MATCH(B8&amp;"分数",[1]数据源表!$D$1:$AH$1,0),MATCH(C8&amp;"分数",[1]数据源表!$D$1:$AH$1,0)),FALSE)</f>
        <v>#N/A</v>
      </c>
      <c r="O8" s="8" t="s">
        <v>70</v>
      </c>
      <c r="P8" s="9"/>
      <c r="Q8" s="9"/>
    </row>
    <row r="9" ht="28.5" customHeight="1" spans="1:17">
      <c r="A9" s="8">
        <v>6</v>
      </c>
      <c r="B9" s="9" t="s">
        <v>82</v>
      </c>
      <c r="C9" s="9" t="s">
        <v>83</v>
      </c>
      <c r="D9" s="9" t="s">
        <v>70</v>
      </c>
      <c r="E9" s="9"/>
      <c r="F9" s="9" t="s">
        <v>84</v>
      </c>
      <c r="G9" s="10" t="e" cm="1">
        <f ca="1" t="array" ref="G9">VLOOKUP(_wpsfn.SHEETSNAME($A$1),INDIRECT("数据源表!$d$1:$AH$300"),_xlfn.IFNA(MATCH(B9,[1]数据源表!$D$1:$AH$1,0),MATCH(C9,[1]数据源表!$D$1:$AH$1,0)),FALSE)</f>
        <v>#N/A</v>
      </c>
      <c r="H9" s="8" t="s">
        <v>72</v>
      </c>
      <c r="I9" s="9">
        <v>1</v>
      </c>
      <c r="J9" s="9" t="s">
        <v>70</v>
      </c>
      <c r="K9" s="9" t="s">
        <v>73</v>
      </c>
      <c r="L9" s="9" t="s">
        <v>73</v>
      </c>
      <c r="M9" s="9" t="s">
        <v>73</v>
      </c>
      <c r="N9" s="11" t="e" cm="1">
        <f ca="1" t="array" ref="N9">VLOOKUP(_wpsfn.SHEETSNAME($A$1),INDIRECT("数据源表!$d$1:$AH$300"),_xlfn.IFNA(MATCH(B9&amp;"分数",[1]数据源表!$D$1:$AH$1,0),MATCH(C9&amp;"分数",[1]数据源表!$D$1:$AH$1,0)),FALSE)</f>
        <v>#N/A</v>
      </c>
      <c r="O9" s="8" t="s">
        <v>70</v>
      </c>
      <c r="P9" s="9"/>
      <c r="Q9" s="8"/>
    </row>
    <row r="10" ht="28.5" customHeight="1" spans="1:17">
      <c r="A10" s="8">
        <v>7</v>
      </c>
      <c r="B10" s="9" t="s">
        <v>82</v>
      </c>
      <c r="C10" s="9" t="s">
        <v>85</v>
      </c>
      <c r="D10" s="9" t="s">
        <v>70</v>
      </c>
      <c r="E10" s="9"/>
      <c r="F10" s="9" t="s">
        <v>86</v>
      </c>
      <c r="G10" s="10" t="e" cm="1">
        <f ca="1" t="array" ref="G10">VLOOKUP(_wpsfn.SHEETSNAME($A$1),INDIRECT("数据源表!$d$1:$AH$300"),_xlfn.IFNA(MATCH(B10,[1]数据源表!$D$1:$AH$1,0),MATCH(C10,[1]数据源表!$D$1:$AH$1,0)),FALSE)</f>
        <v>#N/A</v>
      </c>
      <c r="H10" s="8" t="s">
        <v>72</v>
      </c>
      <c r="I10" s="9">
        <v>1</v>
      </c>
      <c r="J10" s="9" t="s">
        <v>70</v>
      </c>
      <c r="K10" s="9" t="s">
        <v>73</v>
      </c>
      <c r="L10" s="9" t="s">
        <v>73</v>
      </c>
      <c r="M10" s="9" t="s">
        <v>73</v>
      </c>
      <c r="N10" s="11" t="e" cm="1">
        <f ca="1" t="array" ref="N10">VLOOKUP(_wpsfn.SHEETSNAME($A$1),INDIRECT("数据源表!$d$1:$AH$300"),_xlfn.IFNA(MATCH(B10&amp;"分数",[1]数据源表!$D$1:$AH$1,0),MATCH(C10&amp;"分数",[1]数据源表!$D$1:$AH$1,0)),FALSE)</f>
        <v>#N/A</v>
      </c>
      <c r="O10" s="8" t="s">
        <v>70</v>
      </c>
      <c r="P10" s="9"/>
      <c r="Q10" s="8"/>
    </row>
    <row r="11" ht="28.5" customHeight="1" spans="1:17">
      <c r="A11" s="8">
        <v>8</v>
      </c>
      <c r="B11" s="9" t="s">
        <v>82</v>
      </c>
      <c r="C11" s="9" t="s">
        <v>87</v>
      </c>
      <c r="D11" s="9" t="s">
        <v>70</v>
      </c>
      <c r="E11" s="9"/>
      <c r="F11" s="10" t="s">
        <v>88</v>
      </c>
      <c r="G11" s="10"/>
      <c r="H11" s="8" t="s">
        <v>72</v>
      </c>
      <c r="I11" s="9">
        <v>1</v>
      </c>
      <c r="J11" s="9" t="s">
        <v>70</v>
      </c>
      <c r="K11" s="9" t="s">
        <v>73</v>
      </c>
      <c r="L11" s="9" t="s">
        <v>73</v>
      </c>
      <c r="M11" s="9" t="s">
        <v>73</v>
      </c>
      <c r="N11" s="11" t="e" cm="1">
        <f ca="1" t="array" ref="N11">VLOOKUP(_wpsfn.SHEETSNAME($A$1),INDIRECT("数据源表!$d$1:$AH$300"),_xlfn.IFNA(MATCH(B11&amp;"分数",[1]数据源表!$D$1:$AH$1,0),MATCH(C11&amp;"分数",[1]数据源表!$D$1:$AH$1,0)),FALSE)</f>
        <v>#N/A</v>
      </c>
      <c r="O11" s="8" t="s">
        <v>70</v>
      </c>
      <c r="P11" s="8"/>
      <c r="Q11" s="8"/>
    </row>
    <row r="12" ht="28.5" customHeight="1" spans="1:17">
      <c r="A12" s="8">
        <v>9</v>
      </c>
      <c r="B12" s="9" t="s">
        <v>89</v>
      </c>
      <c r="C12" s="9" t="s">
        <v>90</v>
      </c>
      <c r="D12" s="9" t="s">
        <v>70</v>
      </c>
      <c r="E12" s="9"/>
      <c r="F12" s="9" t="s">
        <v>91</v>
      </c>
      <c r="G12" s="10"/>
      <c r="H12" s="8" t="s">
        <v>72</v>
      </c>
      <c r="I12" s="13">
        <v>2</v>
      </c>
      <c r="J12" s="9" t="s">
        <v>70</v>
      </c>
      <c r="K12" s="9" t="s">
        <v>73</v>
      </c>
      <c r="L12" s="9" t="s">
        <v>73</v>
      </c>
      <c r="M12" s="9" t="s">
        <v>73</v>
      </c>
      <c r="N12" s="11"/>
      <c r="O12" s="8" t="s">
        <v>70</v>
      </c>
      <c r="P12" s="8"/>
      <c r="Q12" s="8"/>
    </row>
    <row r="13" ht="28.5" customHeight="1" spans="1:17">
      <c r="A13" s="8">
        <v>10</v>
      </c>
      <c r="B13" s="9" t="s">
        <v>89</v>
      </c>
      <c r="C13" s="9" t="s">
        <v>92</v>
      </c>
      <c r="D13" s="9" t="s">
        <v>70</v>
      </c>
      <c r="E13" s="9"/>
      <c r="F13" s="9" t="s">
        <v>91</v>
      </c>
      <c r="G13" s="10"/>
      <c r="H13" s="8" t="s">
        <v>72</v>
      </c>
      <c r="I13" s="13">
        <v>2</v>
      </c>
      <c r="J13" s="9" t="s">
        <v>70</v>
      </c>
      <c r="K13" s="9" t="s">
        <v>73</v>
      </c>
      <c r="L13" s="9" t="s">
        <v>73</v>
      </c>
      <c r="M13" s="9" t="s">
        <v>73</v>
      </c>
      <c r="N13" s="11"/>
      <c r="O13" s="8" t="s">
        <v>70</v>
      </c>
      <c r="P13" s="8"/>
      <c r="Q13" s="8"/>
    </row>
    <row r="14" ht="28.5" customHeight="1" spans="1:17">
      <c r="A14" s="8">
        <v>11</v>
      </c>
      <c r="B14" s="9" t="s">
        <v>89</v>
      </c>
      <c r="C14" s="9" t="s">
        <v>93</v>
      </c>
      <c r="D14" s="8" t="s">
        <v>70</v>
      </c>
      <c r="E14" s="8"/>
      <c r="F14" s="9" t="s">
        <v>91</v>
      </c>
      <c r="G14" s="10" t="e" cm="1">
        <f ca="1" t="array" ref="G14">VLOOKUP(_wpsfn.SHEETSNAME($A$1),INDIRECT("数据源表!$d$1:$AH$300"),_xlfn.IFNA(MATCH(B14,[1]数据源表!$D$1:$AH$1,0),MATCH(C14,[1]数据源表!$D$1:$AH$1,0)),FALSE)</f>
        <v>#N/A</v>
      </c>
      <c r="H14" s="8" t="s">
        <v>72</v>
      </c>
      <c r="I14" s="13">
        <v>2</v>
      </c>
      <c r="J14" s="9" t="s">
        <v>70</v>
      </c>
      <c r="K14" s="9" t="s">
        <v>73</v>
      </c>
      <c r="L14" s="9" t="s">
        <v>73</v>
      </c>
      <c r="M14" s="9" t="s">
        <v>73</v>
      </c>
      <c r="N14" s="11" t="e" cm="1">
        <f ca="1" t="array" ref="N14">VLOOKUP(_wpsfn.SHEETSNAME($A$1),INDIRECT("数据源表!$d$1:$AH$300"),_xlfn.IFNA(MATCH(B14&amp;"分数",[1]数据源表!$D$1:$AH$1,0),MATCH(C14&amp;"分数",[1]数据源表!$D$1:$AH$1,0)),FALSE)</f>
        <v>#N/A</v>
      </c>
      <c r="O14" s="8" t="s">
        <v>70</v>
      </c>
      <c r="P14" s="8"/>
      <c r="Q14" s="8"/>
    </row>
    <row r="15" ht="28.5" customHeight="1" spans="1:17">
      <c r="A15" s="8">
        <v>12</v>
      </c>
      <c r="B15" s="9" t="s">
        <v>89</v>
      </c>
      <c r="C15" s="9" t="s">
        <v>94</v>
      </c>
      <c r="D15" s="8" t="s">
        <v>70</v>
      </c>
      <c r="E15" s="8"/>
      <c r="F15" s="9" t="s">
        <v>91</v>
      </c>
      <c r="G15" s="10" t="e" cm="1">
        <f ca="1" t="array" ref="G15">VLOOKUP(_wpsfn.SHEETSNAME($A$1),INDIRECT("数据源表!$d$1:$AH$300"),_xlfn.IFNA(MATCH(B15,[1]数据源表!$D$1:$AH$1,0),MATCH(C15,[1]数据源表!$D$1:$AH$1,0)),FALSE)</f>
        <v>#N/A</v>
      </c>
      <c r="H15" s="8" t="s">
        <v>72</v>
      </c>
      <c r="I15" s="13">
        <v>1</v>
      </c>
      <c r="J15" s="9" t="s">
        <v>70</v>
      </c>
      <c r="K15" s="9" t="s">
        <v>73</v>
      </c>
      <c r="L15" s="9" t="s">
        <v>73</v>
      </c>
      <c r="M15" s="9" t="s">
        <v>73</v>
      </c>
      <c r="N15" s="11" t="e" cm="1">
        <f ca="1" t="array" ref="N15">VLOOKUP(_wpsfn.SHEETSNAME($A$1),INDIRECT("数据源表!$d$1:$AH$300"),_xlfn.IFNA(MATCH(B15&amp;"分数",[1]数据源表!$D$1:$AH$1,0),MATCH(C15&amp;"分数",[1]数据源表!$D$1:$AH$1,0)),FALSE)</f>
        <v>#N/A</v>
      </c>
      <c r="O15" s="8" t="s">
        <v>70</v>
      </c>
      <c r="P15" s="8"/>
      <c r="Q15" s="8"/>
    </row>
    <row r="16" ht="28.5" customHeight="1" spans="1:17">
      <c r="A16" s="8">
        <v>13</v>
      </c>
      <c r="B16" s="9" t="s">
        <v>95</v>
      </c>
      <c r="C16" s="9" t="s">
        <v>96</v>
      </c>
      <c r="D16" s="8"/>
      <c r="E16" s="9" t="s">
        <v>70</v>
      </c>
      <c r="F16" s="9" t="s">
        <v>91</v>
      </c>
      <c r="G16" s="10" t="e" cm="1">
        <f ca="1" t="array" ref="G16">VLOOKUP(_wpsfn.SHEETSNAME($A$1),INDIRECT("数据源表!$d$1:$AH$300"),_xlfn.IFNA(MATCH(B16,[1]数据源表!$D$1:$AH$1,0),MATCH(C16,[1]数据源表!$D$1:$AH$1,0)),FALSE)</f>
        <v>#N/A</v>
      </c>
      <c r="H16" s="8" t="s">
        <v>72</v>
      </c>
      <c r="I16" s="13">
        <v>2</v>
      </c>
      <c r="J16" s="9" t="s">
        <v>70</v>
      </c>
      <c r="K16" s="9" t="s">
        <v>73</v>
      </c>
      <c r="L16" s="9" t="s">
        <v>73</v>
      </c>
      <c r="M16" s="9" t="s">
        <v>73</v>
      </c>
      <c r="N16" s="11" t="e" cm="1">
        <f ca="1" t="array" ref="N16">VLOOKUP(_wpsfn.SHEETSNAME($A$1),INDIRECT("数据源表!$d$1:$AH$300"),_xlfn.IFNA(MATCH(B16&amp;"分数",[1]数据源表!$D$1:$AH$1,0),MATCH(C16&amp;"分数",[1]数据源表!$D$1:$AH$1,0)),FALSE)</f>
        <v>#N/A</v>
      </c>
      <c r="O16" s="8" t="s">
        <v>70</v>
      </c>
      <c r="P16" s="8"/>
      <c r="Q16" s="8"/>
    </row>
    <row r="17" ht="28.5" customHeight="1" spans="1:17">
      <c r="A17" s="8">
        <v>14</v>
      </c>
      <c r="B17" s="9" t="s">
        <v>95</v>
      </c>
      <c r="C17" s="9" t="s">
        <v>97</v>
      </c>
      <c r="D17" s="8"/>
      <c r="E17" s="9" t="s">
        <v>70</v>
      </c>
      <c r="F17" s="9" t="s">
        <v>91</v>
      </c>
      <c r="G17" s="10" t="e" cm="1">
        <f ca="1" t="array" ref="G17">VLOOKUP(_wpsfn.SHEETSNAME($A$1),INDIRECT("数据源表!$d$1:$AH$300"),_xlfn.IFNA(MATCH(B17,[1]数据源表!$D$1:$AH$1,0),MATCH(C17,[1]数据源表!$D$1:$AH$1,0)),FALSE)</f>
        <v>#N/A</v>
      </c>
      <c r="H17" s="8" t="s">
        <v>72</v>
      </c>
      <c r="I17" s="13">
        <v>2</v>
      </c>
      <c r="J17" s="9" t="s">
        <v>70</v>
      </c>
      <c r="K17" s="9" t="s">
        <v>73</v>
      </c>
      <c r="L17" s="9" t="s">
        <v>73</v>
      </c>
      <c r="M17" s="9" t="s">
        <v>73</v>
      </c>
      <c r="N17" s="11" t="e" cm="1">
        <f ca="1" t="array" ref="N17">VLOOKUP(_wpsfn.SHEETSNAME($A$1),INDIRECT("数据源表!$d$1:$AH$300"),_xlfn.IFNA(MATCH(B17&amp;"分数",[1]数据源表!$D$1:$AH$1,0),MATCH(C17&amp;"分数",[1]数据源表!$D$1:$AH$1,0)),FALSE)</f>
        <v>#N/A</v>
      </c>
      <c r="O17" s="8" t="s">
        <v>70</v>
      </c>
      <c r="P17" s="8"/>
      <c r="Q17" s="8"/>
    </row>
    <row r="18" ht="28.5" customHeight="1" spans="1:17">
      <c r="A18" s="8">
        <v>15</v>
      </c>
      <c r="B18" s="9" t="s">
        <v>95</v>
      </c>
      <c r="C18" s="9" t="s">
        <v>98</v>
      </c>
      <c r="D18" s="8"/>
      <c r="E18" s="9" t="s">
        <v>70</v>
      </c>
      <c r="F18" s="9" t="s">
        <v>91</v>
      </c>
      <c r="G18" s="10" t="e" cm="1">
        <f ca="1" t="array" ref="G18">VLOOKUP(_wpsfn.SHEETSNAME($A$1),INDIRECT("数据源表!$d$1:$AH$300"),_xlfn.IFNA(MATCH(B18,[1]数据源表!$D$1:$AH$1,0),MATCH(C18,[1]数据源表!$D$1:$AH$1,0)),FALSE)</f>
        <v>#N/A</v>
      </c>
      <c r="H18" s="8" t="s">
        <v>72</v>
      </c>
      <c r="I18" s="13">
        <v>2</v>
      </c>
      <c r="J18" s="9" t="s">
        <v>70</v>
      </c>
      <c r="K18" s="9" t="s">
        <v>73</v>
      </c>
      <c r="L18" s="9" t="s">
        <v>73</v>
      </c>
      <c r="M18" s="9" t="s">
        <v>73</v>
      </c>
      <c r="N18" s="11" t="e" cm="1">
        <f ca="1" t="array" ref="N18">VLOOKUP(_wpsfn.SHEETSNAME($A$1),INDIRECT("数据源表!$d$1:$AH$300"),_xlfn.IFNA(MATCH(B18&amp;"分数",[1]数据源表!$D$1:$AH$1,0),MATCH(C18&amp;"分数",[1]数据源表!$D$1:$AH$1,0)),FALSE)</f>
        <v>#N/A</v>
      </c>
      <c r="O18" s="8" t="s">
        <v>70</v>
      </c>
      <c r="P18" s="8"/>
      <c r="Q18" s="8"/>
    </row>
    <row r="19" ht="28.5" customHeight="1" spans="1:17">
      <c r="A19" s="8">
        <v>16</v>
      </c>
      <c r="B19" s="9" t="s">
        <v>95</v>
      </c>
      <c r="C19" s="9" t="s">
        <v>99</v>
      </c>
      <c r="D19" s="8"/>
      <c r="E19" s="9" t="s">
        <v>70</v>
      </c>
      <c r="F19" s="9" t="s">
        <v>91</v>
      </c>
      <c r="G19" s="10" t="e" cm="1">
        <f ca="1" t="array" ref="G19">VLOOKUP(_wpsfn.SHEETSNAME($A$1),INDIRECT("数据源表!$d$1:$AH$300"),_xlfn.IFNA(MATCH(B19,[1]数据源表!$D$1:$AH$1,0),MATCH(C19,[1]数据源表!$D$1:$AH$1,0)),FALSE)</f>
        <v>#N/A</v>
      </c>
      <c r="H19" s="8" t="s">
        <v>72</v>
      </c>
      <c r="I19" s="13">
        <v>2</v>
      </c>
      <c r="J19" s="9" t="s">
        <v>70</v>
      </c>
      <c r="K19" s="9" t="s">
        <v>73</v>
      </c>
      <c r="L19" s="9" t="s">
        <v>73</v>
      </c>
      <c r="M19" s="9" t="s">
        <v>73</v>
      </c>
      <c r="N19" s="11" t="e" cm="1">
        <f ca="1" t="array" ref="N19">VLOOKUP(_wpsfn.SHEETSNAME($A$1),INDIRECT("数据源表!$d$1:$AH$300"),_xlfn.IFNA(MATCH(B19&amp;"分数",[1]数据源表!$D$1:$AH$1,0),MATCH(C19&amp;"分数",[1]数据源表!$D$1:$AH$1,0)),FALSE)</f>
        <v>#N/A</v>
      </c>
      <c r="O19" s="8" t="s">
        <v>70</v>
      </c>
      <c r="P19" s="8"/>
      <c r="Q19" s="8"/>
    </row>
    <row r="20" ht="28.5" customHeight="1" spans="1:17">
      <c r="A20" s="8">
        <v>17</v>
      </c>
      <c r="B20" s="9" t="s">
        <v>95</v>
      </c>
      <c r="C20" s="9" t="s">
        <v>100</v>
      </c>
      <c r="D20" s="8"/>
      <c r="E20" s="9" t="s">
        <v>70</v>
      </c>
      <c r="F20" s="9" t="s">
        <v>91</v>
      </c>
      <c r="G20" s="10" t="e" cm="1">
        <f ca="1" t="array" ref="G20">VLOOKUP(_wpsfn.SHEETSNAME($A$1),INDIRECT("数据源表!$d$1:$AH$300"),_xlfn.IFNA(MATCH(B20,[1]数据源表!$D$1:$AH$1,0),MATCH(C20,[1]数据源表!$D$1:$AH$1,0)),FALSE)</f>
        <v>#N/A</v>
      </c>
      <c r="H20" s="8" t="s">
        <v>72</v>
      </c>
      <c r="I20" s="13">
        <v>1</v>
      </c>
      <c r="J20" s="9" t="s">
        <v>70</v>
      </c>
      <c r="K20" s="9" t="s">
        <v>73</v>
      </c>
      <c r="L20" s="9" t="s">
        <v>73</v>
      </c>
      <c r="M20" s="9" t="s">
        <v>73</v>
      </c>
      <c r="N20" s="11" t="e" cm="1">
        <f ca="1" t="array" ref="N20">VLOOKUP(_wpsfn.SHEETSNAME($A$1),INDIRECT("数据源表!$d$1:$AH$300"),_xlfn.IFNA(MATCH(B20&amp;"分数",[1]数据源表!$D$1:$AH$1,0),MATCH(C20&amp;"分数",[1]数据源表!$D$1:$AH$1,0)),FALSE)</f>
        <v>#N/A</v>
      </c>
      <c r="O20" s="8" t="s">
        <v>70</v>
      </c>
      <c r="P20" s="8"/>
      <c r="Q20" s="8"/>
    </row>
    <row r="21" ht="28.5" customHeight="1" spans="1:17">
      <c r="A21" s="8">
        <v>18</v>
      </c>
      <c r="B21" s="9" t="s">
        <v>95</v>
      </c>
      <c r="C21" s="9" t="s">
        <v>101</v>
      </c>
      <c r="D21" s="9"/>
      <c r="E21" s="9" t="s">
        <v>70</v>
      </c>
      <c r="F21" s="9" t="s">
        <v>91</v>
      </c>
      <c r="G21" s="10"/>
      <c r="H21" s="8" t="s">
        <v>72</v>
      </c>
      <c r="I21" s="13">
        <v>2</v>
      </c>
      <c r="J21" s="9" t="s">
        <v>70</v>
      </c>
      <c r="K21" s="9" t="s">
        <v>73</v>
      </c>
      <c r="L21" s="9" t="s">
        <v>73</v>
      </c>
      <c r="M21" s="9" t="s">
        <v>73</v>
      </c>
      <c r="N21" s="11"/>
      <c r="O21" s="8" t="s">
        <v>70</v>
      </c>
      <c r="P21" s="8"/>
      <c r="Q21" s="8"/>
    </row>
    <row r="22" ht="28.5" customHeight="1" spans="1:17">
      <c r="A22" s="8">
        <v>19</v>
      </c>
      <c r="B22" s="9" t="s">
        <v>95</v>
      </c>
      <c r="C22" s="9" t="s">
        <v>102</v>
      </c>
      <c r="D22" s="9"/>
      <c r="E22" s="9" t="s">
        <v>70</v>
      </c>
      <c r="F22" s="9" t="s">
        <v>91</v>
      </c>
      <c r="G22" s="10"/>
      <c r="H22" s="8" t="s">
        <v>72</v>
      </c>
      <c r="I22" s="13">
        <v>2</v>
      </c>
      <c r="J22" s="9" t="s">
        <v>70</v>
      </c>
      <c r="K22" s="9" t="s">
        <v>73</v>
      </c>
      <c r="L22" s="9" t="s">
        <v>73</v>
      </c>
      <c r="M22" s="9" t="s">
        <v>73</v>
      </c>
      <c r="N22" s="11"/>
      <c r="O22" s="8" t="s">
        <v>70</v>
      </c>
      <c r="P22" s="8"/>
      <c r="Q22" s="8"/>
    </row>
    <row r="23" ht="28.5" customHeight="1" spans="1:17">
      <c r="A23" s="8">
        <v>20</v>
      </c>
      <c r="B23" s="9" t="s">
        <v>103</v>
      </c>
      <c r="C23" s="9" t="s">
        <v>104</v>
      </c>
      <c r="D23" s="14"/>
      <c r="E23" s="8" t="s">
        <v>70</v>
      </c>
      <c r="F23" s="9" t="s">
        <v>91</v>
      </c>
      <c r="G23" s="10" t="e" cm="1">
        <f ca="1" t="array" ref="G23">VLOOKUP(_wpsfn.SHEETSNAME($A$1),INDIRECT("数据源表!$d$1:$AH$300"),_xlfn.IFNA(MATCH(B23,[1]数据源表!$D$1:$AH$1,0),MATCH(C23,[1]数据源表!$D$1:$AH$1,0)),FALSE)</f>
        <v>#N/A</v>
      </c>
      <c r="H23" s="8" t="s">
        <v>72</v>
      </c>
      <c r="I23" s="13">
        <v>1</v>
      </c>
      <c r="J23" s="9" t="s">
        <v>70</v>
      </c>
      <c r="K23" s="8" t="s">
        <v>73</v>
      </c>
      <c r="L23" s="8" t="s">
        <v>73</v>
      </c>
      <c r="M23" s="8" t="s">
        <v>73</v>
      </c>
      <c r="N23" s="11" t="e" cm="1">
        <f ca="1" t="array" ref="N23">VLOOKUP(_wpsfn.SHEETSNAME($A$1),INDIRECT("数据源表!$d$1:$AH$300"),_xlfn.IFNA(MATCH(B23&amp;"分数",[1]数据源表!$D$1:$AH$1,0),MATCH(C23&amp;"分数",[1]数据源表!$D$1:$AH$1,0)),FALSE)</f>
        <v>#N/A</v>
      </c>
      <c r="O23" s="8" t="s">
        <v>70</v>
      </c>
      <c r="P23" s="8"/>
      <c r="Q23" s="8"/>
    </row>
    <row r="24" ht="28.5" customHeight="1" spans="1:17">
      <c r="A24" s="8">
        <v>21</v>
      </c>
      <c r="B24" s="9" t="s">
        <v>103</v>
      </c>
      <c r="C24" s="9" t="s">
        <v>105</v>
      </c>
      <c r="D24" s="14"/>
      <c r="E24" s="8" t="s">
        <v>70</v>
      </c>
      <c r="F24" s="9" t="s">
        <v>91</v>
      </c>
      <c r="G24" s="10" t="e" cm="1">
        <f ca="1" t="array" ref="G24">VLOOKUP(_wpsfn.SHEETSNAME($A$1),INDIRECT("数据源表!$d$1:$AH$300"),_xlfn.IFNA(MATCH(B24,[1]数据源表!$D$1:$AH$1,0),MATCH(C24,[1]数据源表!$D$1:$AH$1,0)),FALSE)</f>
        <v>#N/A</v>
      </c>
      <c r="H24" s="8" t="s">
        <v>72</v>
      </c>
      <c r="I24" s="13">
        <v>1</v>
      </c>
      <c r="J24" s="9" t="s">
        <v>70</v>
      </c>
      <c r="K24" s="8" t="s">
        <v>73</v>
      </c>
      <c r="L24" s="8" t="s">
        <v>73</v>
      </c>
      <c r="M24" s="8" t="s">
        <v>73</v>
      </c>
      <c r="N24" s="11" t="e" cm="1">
        <f ca="1" t="array" ref="N24">VLOOKUP(_wpsfn.SHEETSNAME($A$1),INDIRECT("数据源表!$d$1:$AH$300"),_xlfn.IFNA(MATCH(B24&amp;"分数",[1]数据源表!$D$1:$AH$1,0),MATCH(C24&amp;"分数",[1]数据源表!$D$1:$AH$1,0)),FALSE)</f>
        <v>#N/A</v>
      </c>
      <c r="O24" s="8" t="s">
        <v>70</v>
      </c>
      <c r="P24" s="8"/>
      <c r="Q24" s="8"/>
    </row>
    <row r="25" ht="28.5" customHeight="1" spans="1:17">
      <c r="A25" s="8">
        <v>22</v>
      </c>
      <c r="B25" s="9" t="s">
        <v>103</v>
      </c>
      <c r="C25" s="15" t="s">
        <v>106</v>
      </c>
      <c r="D25" s="8"/>
      <c r="E25" s="9" t="s">
        <v>70</v>
      </c>
      <c r="F25" s="9" t="s">
        <v>91</v>
      </c>
      <c r="G25" s="10" t="e" cm="1">
        <f ca="1" t="array" ref="G25">VLOOKUP(_wpsfn.SHEETSNAME($A$1),INDIRECT("数据源表!$d$1:$AH$300"),_xlfn.IFNA(MATCH(B25,[1]数据源表!$D$1:$AH$1,0),MATCH(C25,[1]数据源表!$D$1:$AH$1,0)),FALSE)</f>
        <v>#N/A</v>
      </c>
      <c r="H25" s="8" t="s">
        <v>72</v>
      </c>
      <c r="I25" s="9">
        <v>2</v>
      </c>
      <c r="J25" s="9" t="s">
        <v>70</v>
      </c>
      <c r="K25" s="8" t="s">
        <v>73</v>
      </c>
      <c r="L25" s="8" t="s">
        <v>73</v>
      </c>
      <c r="M25" s="8" t="s">
        <v>73</v>
      </c>
      <c r="N25" s="11" t="e" cm="1">
        <f ca="1" t="array" ref="N25">VLOOKUP(_wpsfn.SHEETSNAME($A$1),INDIRECT("数据源表!$d$1:$AH$300"),_xlfn.IFNA(MATCH(B25&amp;"分数",[1]数据源表!$D$1:$AH$1,0),MATCH(C25&amp;"分数",[1]数据源表!$D$1:$AH$1,0)),FALSE)</f>
        <v>#N/A</v>
      </c>
      <c r="O25" s="8" t="s">
        <v>70</v>
      </c>
      <c r="P25" s="9"/>
      <c r="Q25" s="8"/>
    </row>
    <row r="26" ht="24" customHeight="1"/>
  </sheetData>
  <mergeCells count="12">
    <mergeCell ref="A1:E1"/>
    <mergeCell ref="F1:Q1"/>
    <mergeCell ref="D2:E2"/>
    <mergeCell ref="F2:H2"/>
    <mergeCell ref="J2:M2"/>
    <mergeCell ref="O2:P2"/>
    <mergeCell ref="A2:A3"/>
    <mergeCell ref="B2:B3"/>
    <mergeCell ref="C2:C3"/>
    <mergeCell ref="I2:I3"/>
    <mergeCell ref="N2:N3"/>
    <mergeCell ref="Q2:Q3"/>
  </mergeCells>
  <pageMargins left="0.472222222222222" right="0.25" top="0.156944444444444" bottom="0.156944444444444" header="0.297916666666667" footer="0.297916666666667"/>
  <pageSetup paperSize="9" scale="60" fitToHeight="0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J1"/>
  <sheetViews>
    <sheetView topLeftCell="D1" workbookViewId="0">
      <selection activeCell="A1" sqref="A1:AD1"/>
    </sheetView>
  </sheetViews>
  <sheetFormatPr defaultColWidth="9" defaultRowHeight="13.5"/>
  <cols>
    <col min="1" max="1" width="6.25" customWidth="1"/>
    <col min="2" max="2" width="10" customWidth="1"/>
    <col min="3" max="30" width="8.125" customWidth="1"/>
  </cols>
  <sheetData>
    <row r="1" s="1" customFormat="1" ht="54" spans="1:36">
      <c r="A1" s="2" t="s">
        <v>12</v>
      </c>
      <c r="B1" s="2" t="str">
        <f>A1&amp;"分数"</f>
        <v>公共区分数</v>
      </c>
      <c r="C1" s="2" t="s">
        <v>90</v>
      </c>
      <c r="D1" s="2" t="str">
        <f t="shared" ref="D1:H1" si="0">C1&amp;"分数"</f>
        <v>运行管理部第一堂安全课分数</v>
      </c>
      <c r="E1" s="2" t="s">
        <v>92</v>
      </c>
      <c r="F1" s="2" t="str">
        <f t="shared" si="0"/>
        <v>消防安全分数</v>
      </c>
      <c r="G1" s="2" t="s">
        <v>107</v>
      </c>
      <c r="H1" s="2" t="str">
        <f t="shared" si="0"/>
        <v>反诈骗教育培训分数</v>
      </c>
      <c r="I1" s="2" t="s">
        <v>94</v>
      </c>
      <c r="J1" s="2" t="str">
        <f t="shared" ref="J1:N1" si="1">I1&amp;"分数"</f>
        <v>治安管理处罚法分数</v>
      </c>
      <c r="K1" s="2" t="s">
        <v>108</v>
      </c>
      <c r="L1" s="2" t="str">
        <f t="shared" si="1"/>
        <v>岗位手册培训分数</v>
      </c>
      <c r="M1" s="2" t="s">
        <v>97</v>
      </c>
      <c r="N1" s="2" t="str">
        <f t="shared" si="1"/>
        <v>宿舍安全分数</v>
      </c>
      <c r="O1" s="2" t="s">
        <v>98</v>
      </c>
      <c r="P1" s="2" t="str">
        <f t="shared" ref="P1:T1" si="2">O1&amp;"分数"</f>
        <v>反恐安全分数</v>
      </c>
      <c r="Q1" s="2" t="s">
        <v>99</v>
      </c>
      <c r="R1" s="2" t="str">
        <f t="shared" si="2"/>
        <v>交通安全分数</v>
      </c>
      <c r="S1" s="2" t="s">
        <v>100</v>
      </c>
      <c r="T1" s="2" t="str">
        <f t="shared" si="2"/>
        <v>电梯安全分数</v>
      </c>
      <c r="U1" s="2" t="s">
        <v>101</v>
      </c>
      <c r="V1" s="2" t="str">
        <f t="shared" ref="V1:Z1" si="3">U1&amp;"分数"</f>
        <v>急救培训分数</v>
      </c>
      <c r="W1" s="2" t="s">
        <v>102</v>
      </c>
      <c r="X1" s="2" t="str">
        <f t="shared" si="3"/>
        <v>典型不安全事件警示教育分数</v>
      </c>
      <c r="Y1" s="2" t="s">
        <v>104</v>
      </c>
      <c r="Z1" s="2" t="str">
        <f t="shared" si="3"/>
        <v>灭火器、消火栓使用操作分数</v>
      </c>
      <c r="AA1" s="3" t="s">
        <v>105</v>
      </c>
      <c r="AB1" s="2" t="str">
        <f>AA1&amp;"分数"</f>
        <v>突发事件应急处置流程模拟实操分数</v>
      </c>
      <c r="AC1" s="3" t="s">
        <v>109</v>
      </c>
      <c r="AD1" s="2" t="str">
        <f>AC1&amp;"分数"</f>
        <v>防暴器材实操/岗位技能培训分数</v>
      </c>
      <c r="AE1" s="4"/>
      <c r="AF1" s="3"/>
      <c r="AG1" s="4"/>
      <c r="AH1" s="3"/>
      <c r="AI1" s="4"/>
      <c r="AJ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数据源表</vt:lpstr>
      <vt:lpstr>模板测试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lanxiao</dc:creator>
  <cp:lastModifiedBy>待你一袭红装</cp:lastModifiedBy>
  <dcterms:created xsi:type="dcterms:W3CDTF">2024-11-07T01:49:00Z</dcterms:created>
  <dcterms:modified xsi:type="dcterms:W3CDTF">2026-06-30T17:40:14Z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F5C4E7BA28FE4A7F85543957F12F3DBD_13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